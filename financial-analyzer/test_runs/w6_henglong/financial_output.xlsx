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00_overview" sheetId="1" r:id="rId1"/>
    <sheet name="01_kpi_dashboard" sheetId="2" r:id="rId2"/>
    <sheet name="02_financial_summary" sheetId="3" r:id="rId3"/>
    <sheet name="03_debt_profile" sheetId="4" r:id="rId4"/>
    <sheet name="04_liquidity_and_covenants" sheetId="5" r:id="rId5"/>
    <sheet name="05_bond_detail" sheetId="6" r:id="rId6"/>
    <sheet name="08_topic_investment_property" sheetId="7" r:id="rId7"/>
    <sheet name="99_evidence_index" sheetId="8" r:id="rId8"/>
  </sheets>
  <calcPr calcId="124519" fullCalcOnLoad="1"/>
</workbook>
</file>

<file path=xl/comments1.xml><?xml version="1.0" encoding="utf-8"?>
<comments xmlns="http://schemas.openxmlformats.org/spreadsheetml/2006/main">
  <authors>
    <author/>
  </authors>
  <commentList>
    <comment ref="B18" authorId="0">
      <text>
        <r>
          <rPr>
            <sz val="8"/>
            <color indexed="81"/>
            <rFont val="Tahoma"/>
            <family val="2"/>
          </rPr>
          <t># 财务报表附注；# 17银行贷款及其他借贷</t>
        </r>
      </text>
    </comment>
  </commentList>
</comments>
</file>

<file path=xl/comments2.xml><?xml version="1.0" encoding="utf-8"?>
<comments xmlns="http://schemas.openxmlformats.org/spreadsheetml/2006/main">
  <authors>
    <author/>
  </authors>
  <commentList>
    <comment ref="C6" authorId="0">
      <text>
        <r>
          <rPr>
            <sz val="8"/>
            <color indexed="81"/>
            <rFont val="Tahoma"/>
            <family val="2"/>
          </rPr>
          <t>银行贷款及其他借贷总额 57,376</t>
        </r>
      </text>
    </comment>
    <comment ref="C7" authorId="0">
      <text>
        <r>
          <rPr>
            <sz val="8"/>
            <color indexed="81"/>
            <rFont val="Tahoma"/>
            <family val="2"/>
          </rPr>
          <t>现金及现金等价物 10,198</t>
        </r>
      </text>
    </comment>
  </commentList>
</comments>
</file>

<file path=xl/comments3.xml><?xml version="1.0" encoding="utf-8"?>
<comments xmlns="http://schemas.openxmlformats.org/spreadsheetml/2006/main">
  <authors>
    <author/>
  </authors>
  <commentList>
    <comment ref="C6" authorId="0">
      <text>
        <r>
          <rPr>
            <sz val="8"/>
            <color indexed="81"/>
            <rFont val="Tahoma"/>
            <family val="2"/>
          </rPr>
          <t>银行贷款及其他借贷总额 57,376</t>
        </r>
      </text>
    </comment>
    <comment ref="C7" authorId="0">
      <text>
        <r>
          <rPr>
            <sz val="8"/>
            <color indexed="81"/>
            <rFont val="Tahoma"/>
            <family val="2"/>
          </rPr>
          <t>净债项 47,073</t>
        </r>
      </text>
    </comment>
    <comment ref="C11" authorId="0">
      <text>
        <r>
          <rPr>
            <sz val="8"/>
            <color indexed="81"/>
            <rFont val="Tahoma"/>
            <family val="2"/>
          </rPr>
          <t>列入流动负债下一年内到期款项 (9,340</t>
        </r>
      </text>
    </comment>
    <comment ref="C12" authorId="0">
      <text>
        <r>
          <rPr>
            <sz val="8"/>
            <color indexed="81"/>
            <rFont val="Tahoma"/>
            <family val="2"/>
          </rPr>
          <t>列入流动负债下一年内到期款项 (9,340</t>
        </r>
      </text>
    </comment>
    <comment ref="C16" authorId="0">
      <text>
        <r>
          <rPr>
            <sz val="8"/>
            <color indexed="81"/>
            <rFont val="Tahoma"/>
            <family val="2"/>
          </rPr>
          <t>等值港币161.34亿元</t>
        </r>
      </text>
    </comment>
    <comment ref="C20" authorId="0">
      <text>
        <r>
          <rPr>
            <sz val="8"/>
            <color indexed="81"/>
            <rFont val="Tahoma"/>
            <family val="2"/>
          </rPr>
          <t>按3.4%至7.0%</t>
        </r>
      </text>
    </comment>
    <comment ref="C21" authorId="0">
      <text>
        <r>
          <rPr>
            <sz val="8"/>
            <color indexed="81"/>
            <rFont val="Tahoma"/>
            <family val="2"/>
          </rPr>
          <t>票面年利率为2.00%至5.00%</t>
        </r>
      </text>
    </comment>
    <comment ref="B25" authorId="0">
      <text>
        <r>
          <rPr>
            <sz val="8"/>
            <color indexed="81"/>
            <rFont val="Tahoma"/>
            <family val="2"/>
          </rPr>
          <t>账面值港币355.38亿元（2023年：港币314.56亿元）之若干借贷受财务契约限制，该等财务契约要求本集团或其子公司于任何时间之综合或其子公司有形资产净值不得低于及借贷占综合有形资产净值之比率不得高于规定水平 # 17银行贷款及其他借贷 于结算日，无抵押银行贷款及其他借贷之还款期如下： 银行贷款（附注17(a)）…</t>
        </r>
      </text>
    </comment>
  </commentList>
</comments>
</file>

<file path=xl/comments4.xml><?xml version="1.0" encoding="utf-8"?>
<comments xmlns="http://schemas.openxmlformats.org/spreadsheetml/2006/main">
  <authors>
    <author/>
  </authors>
  <commentList>
    <comment ref="C6" authorId="0">
      <text>
        <r>
          <rPr>
            <sz val="8"/>
            <color indexed="81"/>
            <rFont val="Tahoma"/>
            <family val="2"/>
          </rPr>
          <t>现金及现金等价物 10,198</t>
        </r>
      </text>
    </comment>
    <comment ref="C7" authorId="0">
      <text>
        <r>
          <rPr>
            <sz val="8"/>
            <color indexed="81"/>
            <rFont val="Tahoma"/>
            <family val="2"/>
          </rPr>
          <t>现金及银行存款 10,303</t>
        </r>
      </text>
    </comment>
    <comment ref="C12" authorId="0">
      <text>
        <r>
          <rPr>
            <sz val="8"/>
            <color indexed="81"/>
            <rFont val="Tahoma"/>
            <family val="2"/>
          </rPr>
          <t>等值港币161.34亿元</t>
        </r>
      </text>
    </comment>
    <comment ref="C21" authorId="0">
      <text>
        <r>
          <rPr>
            <sz val="8"/>
            <color indexed="81"/>
            <rFont val="Tahoma"/>
            <family val="2"/>
          </rPr>
          <t>账面值港币355.38亿元（2023年：港币314.56亿元）之若干借贷受财务契约限制，该等财务契约要求本集团或其子公司于任何时间之综合或其子公司有形资产净值不得低于及借贷占综合有形资产净值之比率不得高于规定水平 # 17银行贷款及其他借贷 于结算日，无抵押银行贷款及其他借贷之还款期如下： 银行贷款（附注17(a)）…</t>
        </r>
      </text>
    </comment>
    <comment ref="B24" authorId="0">
      <text>
        <r>
          <rPr>
            <sz val="8"/>
            <color indexed="81"/>
            <rFont val="Tahoma"/>
            <family val="2"/>
          </rPr>
          <t>列入流动负债下一年内到期款项 (9,340</t>
        </r>
      </text>
    </comment>
  </commentList>
</comments>
</file>

<file path=xl/comments5.xml><?xml version="1.0" encoding="utf-8"?>
<comments xmlns="http://schemas.openxmlformats.org/spreadsheetml/2006/main">
  <authors>
    <author/>
  </authors>
  <commentList>
    <comment ref="B5" authorId="0">
      <text>
        <r>
          <rPr>
            <sz val="8"/>
            <color indexed="81"/>
            <rFont val="Tahoma"/>
            <family val="2"/>
          </rPr>
          <t>等值港币161.34亿元</t>
        </r>
      </text>
    </comment>
  </commentList>
</comments>
</file>

<file path=xl/comments6.xml><?xml version="1.0" encoding="utf-8"?>
<comments xmlns="http://schemas.openxmlformats.org/spreadsheetml/2006/main">
  <authors>
    <author/>
  </authors>
  <commentList>
    <comment ref="A4" authorId="0">
      <text>
        <r>
          <rPr>
            <sz val="8"/>
            <color indexed="81"/>
            <rFont val="Tahoma"/>
            <family val="2"/>
          </rPr>
          <t># 16待售物业 -待售已建物业 -待售发展中物业 -待售已建物业 967 -待售发展中物业 13,489 14,223 截至2024年12月31日止年度，其中一个内地待售已建物业─由待售物业改变用途至租赁物业─转至投资物业，该账面值为港币3.54亿元（2023年：无）（附注10）；截至2023年12月31日止年度，…</t>
        </r>
      </text>
    </comment>
    <comment ref="B9" authorId="0">
      <text>
        <r>
          <rPr>
            <sz val="8"/>
            <color indexed="81"/>
            <rFont val="Tahoma"/>
            <family val="2"/>
          </rPr>
          <t>截至2024年12月31日止年度，其中一个内地待售已建物业─由待售物业改变用途至租赁物业─转至投资物业，该账面值为港币3.54亿元（2023年：无）（附注10）。</t>
        </r>
      </text>
    </comment>
    <comment ref="B10" authorId="0">
      <text>
        <r>
          <rPr>
            <sz val="8"/>
            <color indexed="81"/>
            <rFont val="Tahoma"/>
            <family val="2"/>
          </rPr>
          <t>截至2023年12月31日止年度，其中一个位于香港的待售发展中物业改变拟定用途时转至发展中投资物业，该账面值为港币3.47亿元（附注10）。该等物业于转换当日的公允价值为港币3.52亿元。该公允价值与账面值差额已在综合损益表的‘物业之公允价值减少’中计入。</t>
        </r>
      </text>
    </comment>
  </commentList>
</comments>
</file>

<file path=xl/sharedStrings.xml><?xml version="1.0" encoding="utf-8"?>
<sst xmlns="http://schemas.openxmlformats.org/spreadsheetml/2006/main" count="403" uniqueCount="202">
  <si>
    <t>Soul v1.1-alpha 概览</t>
  </si>
  <si>
    <t>恒隆地产有限公司 | 2024 | HKD | property</t>
  </si>
  <si>
    <t>公司名称</t>
  </si>
  <si>
    <t>恒隆地产有限公司</t>
  </si>
  <si>
    <t>审计意见</t>
  </si>
  <si>
    <t>标准无保留</t>
  </si>
  <si>
    <t>报告类型</t>
  </si>
  <si>
    <t>hong_kong_full_report</t>
  </si>
  <si>
    <t>执行摘要</t>
  </si>
  <si>
    <t>报告类型识别为 hong_kong_full_report，审计意见为 标准无保留。</t>
  </si>
  <si>
    <t>本次动态重点共 6 项，优先关注 asset_impairment。</t>
  </si>
  <si>
    <t>附注章节记录共生成 4 条，覆盖章节 1 至 4。</t>
  </si>
  <si>
    <t>关键风险</t>
  </si>
  <si>
    <t>风险</t>
  </si>
  <si>
    <t>等级</t>
  </si>
  <si>
    <t>说明</t>
  </si>
  <si>
    <t>证据</t>
  </si>
  <si>
    <t>违约或诉讼风险</t>
  </si>
  <si>
    <t>高</t>
  </si>
  <si>
    <t>检测到 违约, 逾期 相关表述</t>
  </si>
  <si>
    <t>未逾期或逾期少于一个</t>
  </si>
  <si>
    <t>EVD-0002</t>
  </si>
  <si>
    <t>资产减值或公允价值下行压力</t>
  </si>
  <si>
    <t>检测到 减值, 减值准备 相关表述</t>
  </si>
  <si>
    <t>截至2023年12月31日止年度，其中一个位于香港的待售发展中物业改变拟定用途时转至发展中投资物业，该账面值为港币3.47亿元（附注10）。该等物业于转换当日的公允价值为港币3.52亿元。该公允价值与账面值差额已在综合损益表的‘物业之公允价值减少’中计入。</t>
  </si>
  <si>
    <t>EVD-0003</t>
  </si>
  <si>
    <t>流动性与再融资压力</t>
  </si>
  <si>
    <t>检测到 一年内到期, 再融资 相关表述</t>
  </si>
  <si>
    <t>银行贷款（附注17(a)） 一年内或即期 一年后但二年内 二年后但五年内 26,351 22,468 五年以上 42,654 37,235 其他借贷（附注17(b)） 一年内或即期 970 一年后但二年内 二年后但五年内 五年以上 400 14,920 13,663 57,574 50,898 减：未摊销之财务费用…</t>
  </si>
  <si>
    <t>EVD-0004</t>
  </si>
  <si>
    <t>报告亮点</t>
  </si>
  <si>
    <t>附注定位</t>
  </si>
  <si>
    <t>已定位附注区间 14 - 17</t>
  </si>
  <si>
    <t>附注覆盖</t>
  </si>
  <si>
    <t>当前覆盖 4 个附注章节</t>
  </si>
  <si>
    <t>KPI Dashboard</t>
  </si>
  <si>
    <t>固定骨架模块 01</t>
  </si>
  <si>
    <t>分类</t>
  </si>
  <si>
    <t>指标</t>
  </si>
  <si>
    <t>当前值</t>
  </si>
  <si>
    <t>单位</t>
  </si>
  <si>
    <t>来源</t>
  </si>
  <si>
    <t>对比</t>
  </si>
  <si>
    <t>净债务/权益</t>
  </si>
  <si>
    <t>-</t>
  </si>
  <si>
    <t>%</t>
  </si>
  <si>
    <t>待补</t>
  </si>
  <si>
    <t>manual_needed</t>
  </si>
  <si>
    <t>有息债务总额</t>
  </si>
  <si>
    <t>HKD_100m</t>
  </si>
  <si>
    <t>direct</t>
  </si>
  <si>
    <t>EVD-0005</t>
  </si>
  <si>
    <t>杠杆</t>
  </si>
  <si>
    <t>现金短债比</t>
  </si>
  <si>
    <t>x</t>
  </si>
  <si>
    <t>中</t>
  </si>
  <si>
    <t>derived</t>
  </si>
  <si>
    <t>EVD-0006, EVD-0007</t>
  </si>
  <si>
    <t>未动用授信</t>
  </si>
  <si>
    <t>偿债</t>
  </si>
  <si>
    <t>营业利润</t>
  </si>
  <si>
    <t>盈利</t>
  </si>
  <si>
    <t>经营现金流净额</t>
  </si>
  <si>
    <t>现金流</t>
  </si>
  <si>
    <t>Financial Summary</t>
  </si>
  <si>
    <t>固定骨架模块 02</t>
  </si>
  <si>
    <t>当前 notes-only 链路无法稳定生成摘要三表，已保留结构待后续标准化报表抽取补足。</t>
  </si>
  <si>
    <t>资产负债表摘要</t>
  </si>
  <si>
    <t>项目</t>
  </si>
  <si>
    <t>期间</t>
  </si>
  <si>
    <t>数值</t>
  </si>
  <si>
    <t>当前无稳定结构化数据，保留空骨架。</t>
  </si>
  <si>
    <t>利润表摘要</t>
  </si>
  <si>
    <t>现金流量表摘要</t>
  </si>
  <si>
    <t>Debt Profile</t>
  </si>
  <si>
    <t>固定骨架模块 03</t>
  </si>
  <si>
    <t>债务总览</t>
  </si>
  <si>
    <t>备注</t>
  </si>
  <si>
    <t>净债务</t>
  </si>
  <si>
    <t>EVD-0010</t>
  </si>
  <si>
    <t>期限结构</t>
  </si>
  <si>
    <t>一年内到期</t>
  </si>
  <si>
    <t>2024-12-31</t>
  </si>
  <si>
    <t>EVD-0007</t>
  </si>
  <si>
    <t>一年后到期</t>
  </si>
  <si>
    <t>EVD-0007, EVD-0005</t>
  </si>
  <si>
    <t>融资结构</t>
  </si>
  <si>
    <t>债券/票据</t>
  </si>
  <si>
    <t>EVD-0008</t>
  </si>
  <si>
    <t>利率结构</t>
  </si>
  <si>
    <t>银行贷款利率区间</t>
  </si>
  <si>
    <t>3.4%~7.0%</t>
  </si>
  <si>
    <t>text</t>
  </si>
  <si>
    <t>EVD-0011</t>
  </si>
  <si>
    <t>债券票面利率区间</t>
  </si>
  <si>
    <t>2.00%~5.00%</t>
  </si>
  <si>
    <t>EVD-0012</t>
  </si>
  <si>
    <t>债务评论</t>
  </si>
  <si>
    <t>标签</t>
  </si>
  <si>
    <t>详情</t>
  </si>
  <si>
    <t>契约约束借款</t>
  </si>
  <si>
    <t>355.38HKD_100m</t>
  </si>
  <si>
    <t>EVD-0009</t>
  </si>
  <si>
    <t>Liquidity And Covenants</t>
  </si>
  <si>
    <t>固定骨架模块 04</t>
  </si>
  <si>
    <t>现金指标</t>
  </si>
  <si>
    <t>现金及现金等价物</t>
  </si>
  <si>
    <t>EVD-0006</t>
  </si>
  <si>
    <t>现金及银行存款</t>
  </si>
  <si>
    <t>EVD-0013</t>
  </si>
  <si>
    <t>授信与债务窗口</t>
  </si>
  <si>
    <t>未动用银行承诺授信</t>
  </si>
  <si>
    <t>中票/票据计划可发行余额</t>
  </si>
  <si>
    <t>受限资产</t>
  </si>
  <si>
    <t>受限资金</t>
  </si>
  <si>
    <t>抵押/质押资产</t>
  </si>
  <si>
    <t>财务契约</t>
  </si>
  <si>
    <t>条目</t>
  </si>
  <si>
    <t>状态</t>
  </si>
  <si>
    <t>受限债务</t>
  </si>
  <si>
    <t>财务契约合规</t>
  </si>
  <si>
    <t>compliant</t>
  </si>
  <si>
    <t>流动性观察</t>
  </si>
  <si>
    <t>流动性信号</t>
  </si>
  <si>
    <t>存在一年内到期债务与再融资管理要求。</t>
  </si>
  <si>
    <t>受限资产提示</t>
  </si>
  <si>
    <t>受限资产信息待补充。</t>
  </si>
  <si>
    <t>债券明细</t>
  </si>
  <si>
    <t>可选标准模块</t>
  </si>
  <si>
    <t>债券/工具</t>
  </si>
  <si>
    <t>余额</t>
  </si>
  <si>
    <t>利率区间</t>
  </si>
  <si>
    <t>条款</t>
  </si>
  <si>
    <t>中期票据计划余额</t>
  </si>
  <si>
    <t>投资性房地产</t>
  </si>
  <si>
    <t>专题模块</t>
  </si>
  <si>
    <t># 16待售物业 -待售已建物业 -待售发展中物业 -待售已建物业 967 -待售发展中物业 13,489 14,223 截至2024年12月31日止年度，其中一个内地待售已建物业─由待售物业改变用途至租赁物业─转至投资物业，该账面值为港币3.54亿元（2023年：无）（附注10）；截至2023年12月31日止年度，其中一个位于香港的待售发展中物业改变拟定用途时转至发展中投资物业，该账面值为港币…</t>
  </si>
  <si>
    <t>案例要点</t>
  </si>
  <si>
    <t>截至</t>
  </si>
  <si>
    <t>亿元</t>
  </si>
  <si>
    <t>EVD-0015</t>
  </si>
  <si>
    <t>EVD-0016</t>
  </si>
  <si>
    <t>风险信号</t>
  </si>
  <si>
    <t>信号</t>
  </si>
  <si>
    <t>影响</t>
  </si>
  <si>
    <t>asset_impairment</t>
  </si>
  <si>
    <t>Evidence Index</t>
  </si>
  <si>
    <t>固定骨架模块 99</t>
  </si>
  <si>
    <t>证据ID</t>
  </si>
  <si>
    <t>字段路径</t>
  </si>
  <si>
    <t>Sheet</t>
  </si>
  <si>
    <t>证据片段</t>
  </si>
  <si>
    <t>文档</t>
  </si>
  <si>
    <t>章节</t>
  </si>
  <si>
    <t>附注</t>
  </si>
  <si>
    <t>置信度</t>
  </si>
  <si>
    <t>EVD-0001</t>
  </si>
  <si>
    <t>overview.report_highlights.locator</t>
  </si>
  <si>
    <t>00_overview</t>
  </si>
  <si>
    <t># 财务报表附注；# 17银行贷款及其他借贷</t>
  </si>
  <si>
    <t>notes_workfile</t>
  </si>
  <si>
    <t>high</t>
  </si>
  <si>
    <t>overview.key_risks.litigation_or_default</t>
  </si>
  <si>
    <t>annual_report_notes</t>
  </si>
  <si>
    <t>15 应收账款及其他应收款</t>
  </si>
  <si>
    <t>15</t>
  </si>
  <si>
    <t>overview.key_risks.asset_impairment</t>
  </si>
  <si>
    <t>16 待售物业</t>
  </si>
  <si>
    <t>16</t>
  </si>
  <si>
    <t>overview.key_risks.liquidity_pressure</t>
  </si>
  <si>
    <t>17 银行贷款及其他借贷</t>
  </si>
  <si>
    <t>17</t>
  </si>
  <si>
    <t>debt_profile.totals.total_interest_bearing_debt</t>
  </si>
  <si>
    <t>03_debt_profile</t>
  </si>
  <si>
    <t>银行贷款及其他借贷总额 57,376</t>
  </si>
  <si>
    <t>medium</t>
  </si>
  <si>
    <t>liquidity_and_covenants.cash_metrics.cash_and_cash_equiv</t>
  </si>
  <si>
    <t>04_liquidity_and_covenants</t>
  </si>
  <si>
    <t>现金及现金等价物 10,198</t>
  </si>
  <si>
    <t>14 现金及银行存款</t>
  </si>
  <si>
    <t>14</t>
  </si>
  <si>
    <t>debt_profile.maturity_buckets.within_1y</t>
  </si>
  <si>
    <t>列入流动负债下一年内到期款项 (9,340</t>
  </si>
  <si>
    <t>optional_modules.bond_detail.bonds.mtn_program</t>
  </si>
  <si>
    <t>05_bond_detail</t>
  </si>
  <si>
    <t>等值港币161.34亿元</t>
  </si>
  <si>
    <t>liquidity_and_covenants.covenants.covenant_linked_debt</t>
  </si>
  <si>
    <t>账面值港币355.38亿元（2023年：港币314.56亿元）之若干借贷受财务契约限制，该等财务契约要求本集团或其子公司于任何时间之综合或其子公司有形资产净值不得低于及借贷占综合有形资产净值之比率不得高于规定水平 # 17银行贷款及其他借贷 于结算日，无抵押银行贷款及其他借贷之还款期如下： 银行贷款（附注17(a)）…</t>
  </si>
  <si>
    <t>debt_profile.totals.net_debt</t>
  </si>
  <si>
    <t>净债项 47,073</t>
  </si>
  <si>
    <t>debt_profile.rate_profile.bank_loan_rate_range</t>
  </si>
  <si>
    <t>按3.4%至7.0%</t>
  </si>
  <si>
    <t>debt_profile.rate_profile.bond_coupon_range</t>
  </si>
  <si>
    <t>票面年利率为2.00%至5.00%</t>
  </si>
  <si>
    <t>liquidity_and_covenants.cash_metrics.cash_and_bank_deposits</t>
  </si>
  <si>
    <t>现金及银行存款 10,303</t>
  </si>
  <si>
    <t>EVD-0014</t>
  </si>
  <si>
    <t>optional_modules.topic_investment_property.summary</t>
  </si>
  <si>
    <t>08_topic_investment_property</t>
  </si>
  <si>
    <t># 16待售物业 -待售已建物业 -待售发展中物业 -待售已建物业 967 -待售发展中物业 13,489 14,223 截至2024年12月31日止年度，其中一个内地待售已建物业─由待售物业改变用途至租赁物业─转至投资物业，该账面值为港币3.54亿元（2023年：无）（附注10）；截至2023年12月31日止年度，…</t>
  </si>
  <si>
    <t>optional_modules.topic_investment_property.sections.numeric</t>
  </si>
  <si>
    <t>截至2024年12月31日止年度，其中一个内地待售已建物业─由待售物业改变用途至租赁物业─转至投资物业，该账面值为港币3.54亿元（2023年：无）（附注10）。</t>
  </si>
</sst>
</file>

<file path=xl/styles.xml><?xml version="1.0" encoding="utf-8"?>
<styleSheet xmlns="http://schemas.openxmlformats.org/spreadsheetml/2006/main">
  <numFmts count="2">
    <numFmt numFmtId="164" formatCode="#,##0.00;[Red](#,##0.00);-"/>
    <numFmt numFmtId="165" formatCode="0.00&quot;x&quot;;[Red](0.00&quot;x&quot;);-"/>
  </numFmts>
  <fonts count="11">
    <font>
      <sz val="11"/>
      <color theme="1"/>
      <name val="Calibri"/>
      <family val="2"/>
      <scheme val="minor"/>
    </font>
    <font>
      <b/>
      <sz val="16"/>
      <color rgb="FFFFFFFF"/>
      <name val="Calibri"/>
      <family val="2"/>
      <scheme val="minor"/>
    </font>
    <font>
      <i/>
      <sz val="11"/>
      <color rgb="FF4B5563"/>
      <name val="Calibri"/>
      <family val="2"/>
      <scheme val="minor"/>
    </font>
    <font>
      <b/>
      <sz val="11"/>
      <color rgb="FFFFFFFF"/>
      <name val="Calibri"/>
      <family val="2"/>
      <scheme val="minor"/>
    </font>
    <font>
      <b/>
      <sz val="11"/>
      <color rgb="FF16324F"/>
      <name val="Calibri"/>
      <family val="2"/>
      <scheme val="minor"/>
    </font>
    <font>
      <sz val="11"/>
      <color rgb="FF9C0006"/>
      <name val="Calibri"/>
      <family val="2"/>
      <scheme val="minor"/>
    </font>
    <font>
      <sz val="11"/>
      <color rgb="FF6B7280"/>
      <name val="Calibri"/>
      <family val="2"/>
      <scheme val="minor"/>
    </font>
    <font>
      <b/>
      <sz val="11"/>
      <color theme="1"/>
      <name val="Calibri"/>
      <family val="2"/>
      <scheme val="minor"/>
    </font>
    <font>
      <sz val="11"/>
      <color rgb="FF7F6000"/>
      <name val="Calibri"/>
      <family val="2"/>
      <scheme val="minor"/>
    </font>
    <font>
      <sz val="11"/>
      <color rgb="FF385723"/>
      <name val="Calibri"/>
      <family val="2"/>
      <scheme val="minor"/>
    </font>
    <font>
      <sz val="8"/>
      <color indexed="81"/>
      <name val="Tahoma"/>
      <family val="2"/>
    </font>
  </fonts>
  <fills count="9">
    <fill>
      <patternFill patternType="none"/>
    </fill>
    <fill>
      <patternFill patternType="gray125"/>
    </fill>
    <fill>
      <patternFill patternType="solid">
        <fgColor rgb="FF16324F"/>
        <bgColor indexed="64"/>
      </patternFill>
    </fill>
    <fill>
      <patternFill patternType="solid">
        <fgColor rgb="FF1F4E78"/>
        <bgColor indexed="64"/>
      </patternFill>
    </fill>
    <fill>
      <patternFill patternType="solid">
        <fgColor rgb="FFD9E2F3"/>
        <bgColor indexed="64"/>
      </patternFill>
    </fill>
    <fill>
      <patternFill patternType="solid">
        <fgColor rgb="FFFDE9D9"/>
        <bgColor indexed="64"/>
      </patternFill>
    </fill>
    <fill>
      <patternFill patternType="solid">
        <fgColor rgb="FFEAF0F7"/>
        <bgColor indexed="64"/>
      </patternFill>
    </fill>
    <fill>
      <patternFill patternType="solid">
        <fgColor rgb="FFFFF2CC"/>
        <bgColor indexed="64"/>
      </patternFill>
    </fill>
    <fill>
      <patternFill patternType="solid">
        <fgColor rgb="FFE2F0D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1" fillId="2" borderId="0" xfId="0" applyFont="1" applyFill="1" applyAlignment="1">
      <alignment horizontal="left" vertical="center"/>
    </xf>
    <xf numFmtId="0" fontId="2" fillId="0" borderId="0" xfId="0" applyFont="1" applyAlignment="1">
      <alignment wrapText="1"/>
    </xf>
    <xf numFmtId="0" fontId="3" fillId="3" borderId="1" xfId="0" applyFont="1" applyFill="1" applyBorder="1" applyAlignment="1">
      <alignment horizontal="center" vertical="center"/>
    </xf>
    <xf numFmtId="0" fontId="0" fillId="0" borderId="1" xfId="0" applyBorder="1" applyAlignment="1">
      <alignment vertical="top" wrapText="1"/>
    </xf>
    <xf numFmtId="0" fontId="4" fillId="4" borderId="1" xfId="0" applyFont="1" applyFill="1" applyBorder="1"/>
    <xf numFmtId="0" fontId="5" fillId="5" borderId="1" xfId="0" applyFont="1" applyFill="1" applyBorder="1"/>
    <xf numFmtId="0" fontId="6" fillId="0" borderId="1" xfId="0" applyFont="1" applyBorder="1" applyAlignment="1">
      <alignment vertical="top" wrapText="1"/>
    </xf>
    <xf numFmtId="0" fontId="7" fillId="6" borderId="1" xfId="0" applyFont="1" applyFill="1" applyBorder="1"/>
    <xf numFmtId="164" fontId="0" fillId="0" borderId="1" xfId="0" applyNumberFormat="1" applyBorder="1"/>
    <xf numFmtId="165" fontId="0" fillId="0" borderId="1" xfId="0" applyNumberFormat="1" applyBorder="1"/>
    <xf numFmtId="0" fontId="8" fillId="7" borderId="1" xfId="0" applyFont="1" applyFill="1" applyBorder="1"/>
    <xf numFmtId="0" fontId="9" fillId="8" borderId="1" xfId="0" applyFont="1" applyFill="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sheet1.xml><?xml version="1.0" encoding="utf-8"?>
<worksheet xmlns="http://schemas.openxmlformats.org/spreadsheetml/2006/main" xmlns:r="http://schemas.openxmlformats.org/officeDocument/2006/relationships">
  <dimension ref="A1:F19"/>
  <sheetViews>
    <sheetView showGridLines="0" tabSelected="1" workbookViewId="0">
      <pane ySplit="2" topLeftCell="A3" activePane="bottomLeft" state="frozen"/>
      <selection pane="bottomLeft"/>
    </sheetView>
  </sheetViews>
  <sheetFormatPr defaultRowHeight="15"/>
  <cols>
    <col min="1" max="1" width="16.7109375" customWidth="1"/>
    <col min="2" max="2" width="22.7109375" customWidth="1"/>
    <col min="3" max="6" width="24.7109375" customWidth="1"/>
  </cols>
  <sheetData>
    <row r="1" spans="1:6">
      <c r="A1" s="1" t="s">
        <v>0</v>
      </c>
      <c r="B1" s="1"/>
      <c r="C1" s="1"/>
      <c r="D1" s="1"/>
      <c r="E1" s="1"/>
      <c r="F1" s="1"/>
    </row>
    <row r="2" spans="1:6">
      <c r="A2" s="2" t="s">
        <v>1</v>
      </c>
    </row>
    <row r="4" spans="1:6">
      <c r="A4" s="3" t="s">
        <v>2</v>
      </c>
      <c r="B4" s="4" t="s">
        <v>3</v>
      </c>
      <c r="C4" s="3" t="s">
        <v>4</v>
      </c>
      <c r="D4" s="4" t="s">
        <v>5</v>
      </c>
      <c r="E4" s="3" t="s">
        <v>6</v>
      </c>
      <c r="F4" s="4" t="s">
        <v>7</v>
      </c>
    </row>
    <row r="6" spans="1:6">
      <c r="A6" s="5" t="s">
        <v>8</v>
      </c>
      <c r="B6" s="5"/>
      <c r="C6" s="5"/>
      <c r="D6" s="5"/>
      <c r="E6" s="5"/>
      <c r="F6" s="5"/>
    </row>
    <row r="7" spans="1:6">
      <c r="A7" s="4" t="s">
        <v>9</v>
      </c>
      <c r="B7" s="4"/>
      <c r="C7" s="4"/>
      <c r="D7" s="4"/>
      <c r="E7" s="4"/>
      <c r="F7" s="4"/>
    </row>
    <row r="8" spans="1:6">
      <c r="A8" s="4" t="s">
        <v>10</v>
      </c>
      <c r="B8" s="4"/>
      <c r="C8" s="4"/>
      <c r="D8" s="4"/>
      <c r="E8" s="4"/>
      <c r="F8" s="4"/>
    </row>
    <row r="9" spans="1:6">
      <c r="A9" s="4" t="s">
        <v>11</v>
      </c>
      <c r="B9" s="4"/>
      <c r="C9" s="4"/>
      <c r="D9" s="4"/>
      <c r="E9" s="4"/>
      <c r="F9" s="4"/>
    </row>
    <row r="11" spans="1:6">
      <c r="A11" s="5" t="s">
        <v>12</v>
      </c>
      <c r="B11" s="5"/>
      <c r="C11" s="5"/>
      <c r="D11" s="5"/>
      <c r="E11" s="5"/>
      <c r="F11" s="5"/>
    </row>
    <row r="12" spans="1:6">
      <c r="A12" s="3" t="s">
        <v>13</v>
      </c>
      <c r="B12" s="3" t="s">
        <v>14</v>
      </c>
      <c r="C12" s="3" t="s">
        <v>15</v>
      </c>
      <c r="D12" s="3" t="s">
        <v>16</v>
      </c>
    </row>
    <row r="13" spans="1:6">
      <c r="A13" s="4" t="s">
        <v>17</v>
      </c>
      <c r="B13" s="6" t="s">
        <v>18</v>
      </c>
      <c r="C13" s="4" t="s">
        <v>19</v>
      </c>
      <c r="D13" s="4" t="s">
        <v>20</v>
      </c>
      <c r="E13" s="7" t="s">
        <v>21</v>
      </c>
      <c r="F13" s="7"/>
    </row>
    <row r="14" spans="1:6">
      <c r="A14" s="4" t="s">
        <v>22</v>
      </c>
      <c r="B14" s="6" t="s">
        <v>18</v>
      </c>
      <c r="C14" s="4" t="s">
        <v>23</v>
      </c>
      <c r="D14" s="4" t="s">
        <v>24</v>
      </c>
      <c r="E14" s="7" t="s">
        <v>25</v>
      </c>
      <c r="F14" s="7"/>
    </row>
    <row r="15" spans="1:6">
      <c r="A15" s="4" t="s">
        <v>26</v>
      </c>
      <c r="B15" s="6" t="s">
        <v>18</v>
      </c>
      <c r="C15" s="4" t="s">
        <v>27</v>
      </c>
      <c r="D15" s="4" t="s">
        <v>28</v>
      </c>
      <c r="E15" s="7" t="s">
        <v>29</v>
      </c>
      <c r="F15" s="7"/>
    </row>
    <row r="17" spans="1:6">
      <c r="A17" s="5" t="s">
        <v>30</v>
      </c>
      <c r="B17" s="5"/>
      <c r="C17" s="5"/>
      <c r="D17" s="5"/>
      <c r="E17" s="5"/>
      <c r="F17" s="5"/>
    </row>
    <row r="18" spans="1:6">
      <c r="A18" s="8" t="s">
        <v>31</v>
      </c>
      <c r="B18" s="4" t="s">
        <v>32</v>
      </c>
      <c r="C18" s="4"/>
      <c r="D18" s="4"/>
      <c r="E18" s="4"/>
      <c r="F18" s="4"/>
    </row>
    <row r="19" spans="1:6">
      <c r="A19" s="8" t="s">
        <v>33</v>
      </c>
      <c r="B19" s="4" t="s">
        <v>34</v>
      </c>
      <c r="C19" s="4"/>
      <c r="D19" s="4"/>
      <c r="E19" s="4"/>
      <c r="F19" s="4"/>
    </row>
  </sheetData>
  <mergeCells count="12">
    <mergeCell ref="A1:F1"/>
    <mergeCell ref="A6:F6"/>
    <mergeCell ref="A7:F7"/>
    <mergeCell ref="A8:F8"/>
    <mergeCell ref="A9:F9"/>
    <mergeCell ref="A11:F11"/>
    <mergeCell ref="E13:F13"/>
    <mergeCell ref="E14:F14"/>
    <mergeCell ref="E15:F15"/>
    <mergeCell ref="A17:F17"/>
    <mergeCell ref="B18:F18"/>
    <mergeCell ref="B19:F19"/>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dimension ref="A1:K10"/>
  <sheetViews>
    <sheetView showGridLines="0" workbookViewId="0">
      <pane ySplit="2" topLeftCell="A3" activePane="bottomLeft" state="frozen"/>
      <selection pane="bottomLeft"/>
    </sheetView>
  </sheetViews>
  <sheetFormatPr defaultRowHeight="15"/>
  <cols>
    <col min="1" max="1" width="14.7109375" customWidth="1"/>
    <col min="2" max="2" width="22.7109375" customWidth="1"/>
    <col min="3" max="3" width="14.7109375" customWidth="1"/>
    <col min="4" max="6" width="12.7109375" customWidth="1"/>
    <col min="7" max="7" width="14.7109375" customWidth="1"/>
    <col min="8" max="8" width="24.7109375" customWidth="1"/>
    <col min="10" max="11" width="12.7109375" hidden="1" customWidth="1"/>
  </cols>
  <sheetData>
    <row r="1" spans="1:10">
      <c r="A1" s="1" t="s">
        <v>35</v>
      </c>
      <c r="B1" s="1"/>
      <c r="C1" s="1"/>
      <c r="D1" s="1"/>
      <c r="E1" s="1"/>
      <c r="F1" s="1"/>
    </row>
    <row r="2" spans="1:10">
      <c r="A2" s="2" t="s">
        <v>36</v>
      </c>
      <c r="J2">
        <v>101.98</v>
      </c>
    </row>
    <row r="3" spans="1:10">
      <c r="J3">
        <v>93.40000000000001</v>
      </c>
    </row>
    <row r="4" spans="1:10">
      <c r="A4" s="3" t="s">
        <v>37</v>
      </c>
      <c r="B4" s="3" t="s">
        <v>38</v>
      </c>
      <c r="C4" s="3" t="s">
        <v>39</v>
      </c>
      <c r="D4" s="3" t="s">
        <v>40</v>
      </c>
      <c r="E4" s="3" t="s">
        <v>13</v>
      </c>
      <c r="F4" s="3" t="s">
        <v>41</v>
      </c>
      <c r="G4" s="3" t="s">
        <v>42</v>
      </c>
      <c r="H4" s="3" t="s">
        <v>16</v>
      </c>
    </row>
    <row r="5" spans="1:10">
      <c r="A5" s="5" t="s">
        <v>52</v>
      </c>
      <c r="B5" s="4" t="s">
        <v>43</v>
      </c>
      <c r="C5" s="7" t="s">
        <v>44</v>
      </c>
      <c r="D5" s="4" t="s">
        <v>45</v>
      </c>
      <c r="E5" s="7" t="s">
        <v>46</v>
      </c>
      <c r="F5" s="4" t="s">
        <v>47</v>
      </c>
      <c r="G5" s="4"/>
      <c r="H5" s="7"/>
    </row>
    <row r="6" spans="1:10">
      <c r="A6" s="5"/>
      <c r="B6" s="4" t="s">
        <v>48</v>
      </c>
      <c r="C6" s="9">
        <v>573.76</v>
      </c>
      <c r="D6" s="4" t="s">
        <v>49</v>
      </c>
      <c r="E6" s="7" t="s">
        <v>46</v>
      </c>
      <c r="F6" s="4" t="s">
        <v>50</v>
      </c>
      <c r="G6" s="4"/>
      <c r="H6" s="7" t="s">
        <v>51</v>
      </c>
    </row>
    <row r="7" spans="1:10">
      <c r="A7" s="5" t="s">
        <v>59</v>
      </c>
      <c r="B7" s="4" t="s">
        <v>53</v>
      </c>
      <c r="C7" s="10">
        <f>IFERROR($J$2/$J$3,"")</f>
        <v>1.09</v>
      </c>
      <c r="D7" s="4" t="s">
        <v>54</v>
      </c>
      <c r="E7" s="11" t="s">
        <v>55</v>
      </c>
      <c r="F7" s="4" t="s">
        <v>56</v>
      </c>
      <c r="G7" s="4"/>
      <c r="H7" s="7" t="s">
        <v>57</v>
      </c>
    </row>
    <row r="8" spans="1:10">
      <c r="A8" s="5"/>
      <c r="B8" s="4" t="s">
        <v>58</v>
      </c>
      <c r="C8" s="7" t="s">
        <v>44</v>
      </c>
      <c r="D8" s="4"/>
      <c r="E8" s="7" t="s">
        <v>46</v>
      </c>
      <c r="F8" s="4" t="s">
        <v>47</v>
      </c>
      <c r="G8" s="4"/>
      <c r="H8" s="7"/>
    </row>
    <row r="9" spans="1:10">
      <c r="A9" s="5" t="s">
        <v>61</v>
      </c>
      <c r="B9" s="4" t="s">
        <v>60</v>
      </c>
      <c r="C9" s="7" t="s">
        <v>44</v>
      </c>
      <c r="D9" s="4"/>
      <c r="E9" s="7" t="s">
        <v>46</v>
      </c>
      <c r="F9" s="4" t="s">
        <v>47</v>
      </c>
      <c r="G9" s="4"/>
      <c r="H9" s="7"/>
    </row>
    <row r="10" spans="1:10">
      <c r="A10" s="5" t="s">
        <v>63</v>
      </c>
      <c r="B10" s="4" t="s">
        <v>62</v>
      </c>
      <c r="C10" s="7" t="s">
        <v>44</v>
      </c>
      <c r="D10" s="4"/>
      <c r="E10" s="7" t="s">
        <v>46</v>
      </c>
      <c r="F10" s="4" t="s">
        <v>47</v>
      </c>
      <c r="G10" s="4"/>
      <c r="H10" s="7"/>
    </row>
  </sheetData>
  <mergeCells count="3">
    <mergeCell ref="A1:F1"/>
    <mergeCell ref="A5:A6"/>
    <mergeCell ref="A7:A8"/>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dimension ref="A1:F15"/>
  <sheetViews>
    <sheetView showGridLines="0" workbookViewId="0">
      <pane ySplit="2" topLeftCell="A3" activePane="bottomLeft" state="frozen"/>
      <selection pane="bottomLeft"/>
    </sheetView>
  </sheetViews>
  <sheetFormatPr defaultRowHeight="15"/>
  <cols>
    <col min="1" max="1" width="24.7109375" customWidth="1"/>
    <col min="2" max="5" width="16.7109375" customWidth="1"/>
  </cols>
  <sheetData>
    <row r="1" spans="1:6">
      <c r="A1" s="1" t="s">
        <v>64</v>
      </c>
      <c r="B1" s="1"/>
      <c r="C1" s="1"/>
      <c r="D1" s="1"/>
      <c r="E1" s="1"/>
      <c r="F1" s="1"/>
    </row>
    <row r="2" spans="1:6">
      <c r="A2" s="2" t="s">
        <v>65</v>
      </c>
    </row>
    <row r="3" spans="1:6">
      <c r="A3" s="2" t="s">
        <v>66</v>
      </c>
      <c r="B3" s="2"/>
      <c r="C3" s="2"/>
      <c r="D3" s="2"/>
      <c r="E3" s="2"/>
    </row>
    <row r="5" spans="1:6">
      <c r="A5" s="5" t="s">
        <v>67</v>
      </c>
      <c r="B5" s="5"/>
      <c r="C5" s="5"/>
      <c r="D5" s="5"/>
      <c r="E5" s="5"/>
    </row>
    <row r="6" spans="1:6">
      <c r="A6" s="3" t="s">
        <v>68</v>
      </c>
      <c r="B6" s="3" t="s">
        <v>69</v>
      </c>
      <c r="C6" s="3" t="s">
        <v>70</v>
      </c>
      <c r="D6" s="3" t="s">
        <v>40</v>
      </c>
      <c r="E6" s="3" t="s">
        <v>15</v>
      </c>
    </row>
    <row r="7" spans="1:6">
      <c r="A7" s="7" t="s">
        <v>71</v>
      </c>
      <c r="B7" s="7"/>
      <c r="C7" s="7"/>
      <c r="D7" s="7"/>
      <c r="E7" s="7"/>
    </row>
    <row r="9" spans="1:6">
      <c r="A9" s="5" t="s">
        <v>72</v>
      </c>
      <c r="B9" s="5"/>
      <c r="C9" s="5"/>
      <c r="D9" s="5"/>
      <c r="E9" s="5"/>
    </row>
    <row r="10" spans="1:6">
      <c r="A10" s="3" t="s">
        <v>68</v>
      </c>
      <c r="B10" s="3" t="s">
        <v>69</v>
      </c>
      <c r="C10" s="3" t="s">
        <v>70</v>
      </c>
      <c r="D10" s="3" t="s">
        <v>40</v>
      </c>
      <c r="E10" s="3" t="s">
        <v>15</v>
      </c>
    </row>
    <row r="11" spans="1:6">
      <c r="A11" s="7" t="s">
        <v>71</v>
      </c>
      <c r="B11" s="7"/>
      <c r="C11" s="7"/>
      <c r="D11" s="7"/>
      <c r="E11" s="7"/>
    </row>
    <row r="13" spans="1:6">
      <c r="A13" s="5" t="s">
        <v>73</v>
      </c>
      <c r="B13" s="5"/>
      <c r="C13" s="5"/>
      <c r="D13" s="5"/>
      <c r="E13" s="5"/>
    </row>
    <row r="14" spans="1:6">
      <c r="A14" s="3" t="s">
        <v>68</v>
      </c>
      <c r="B14" s="3" t="s">
        <v>69</v>
      </c>
      <c r="C14" s="3" t="s">
        <v>70</v>
      </c>
      <c r="D14" s="3" t="s">
        <v>40</v>
      </c>
      <c r="E14" s="3" t="s">
        <v>15</v>
      </c>
    </row>
    <row r="15" spans="1:6">
      <c r="A15" s="7" t="s">
        <v>71</v>
      </c>
      <c r="B15" s="7"/>
      <c r="C15" s="7"/>
      <c r="D15" s="7"/>
      <c r="E15" s="7"/>
    </row>
  </sheetData>
  <mergeCells count="8">
    <mergeCell ref="A1:F1"/>
    <mergeCell ref="A3:E3"/>
    <mergeCell ref="A5:E5"/>
    <mergeCell ref="A7:E7"/>
    <mergeCell ref="A9:E9"/>
    <mergeCell ref="A11:E11"/>
    <mergeCell ref="A13:E13"/>
    <mergeCell ref="A15:E15"/>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25"/>
  <sheetViews>
    <sheetView showGridLines="0" workbookViewId="0">
      <pane ySplit="2" topLeftCell="A3" activePane="bottomLeft" state="frozen"/>
      <selection pane="bottomLeft"/>
    </sheetView>
  </sheetViews>
  <sheetFormatPr defaultRowHeight="15"/>
  <cols>
    <col min="1" max="1" width="22.7109375" customWidth="1"/>
    <col min="2" max="6" width="16.7109375" customWidth="1"/>
  </cols>
  <sheetData>
    <row r="1" spans="1:6">
      <c r="A1" s="1" t="s">
        <v>74</v>
      </c>
      <c r="B1" s="1"/>
      <c r="C1" s="1"/>
      <c r="D1" s="1"/>
      <c r="E1" s="1"/>
      <c r="F1" s="1"/>
    </row>
    <row r="2" spans="1:6">
      <c r="A2" s="2" t="s">
        <v>75</v>
      </c>
    </row>
    <row r="4" spans="1:6">
      <c r="A4" s="5" t="s">
        <v>76</v>
      </c>
      <c r="B4" s="5"/>
      <c r="C4" s="5"/>
      <c r="D4" s="5"/>
      <c r="E4" s="5"/>
      <c r="F4" s="5"/>
    </row>
    <row r="5" spans="1:6">
      <c r="A5" s="3" t="s">
        <v>68</v>
      </c>
      <c r="B5" s="3" t="s">
        <v>69</v>
      </c>
      <c r="C5" s="3" t="s">
        <v>70</v>
      </c>
      <c r="D5" s="3" t="s">
        <v>40</v>
      </c>
      <c r="E5" s="3" t="s">
        <v>77</v>
      </c>
      <c r="F5" s="3" t="s">
        <v>16</v>
      </c>
    </row>
    <row r="6" spans="1:6">
      <c r="A6" s="4" t="s">
        <v>48</v>
      </c>
      <c r="B6" s="4"/>
      <c r="C6" s="4" t="s">
        <v>44</v>
      </c>
      <c r="D6" s="4"/>
      <c r="E6" s="4"/>
      <c r="F6" s="7" t="s">
        <v>51</v>
      </c>
    </row>
    <row r="7" spans="1:6">
      <c r="A7" s="4" t="s">
        <v>78</v>
      </c>
      <c r="B7" s="4"/>
      <c r="C7" s="4" t="s">
        <v>44</v>
      </c>
      <c r="D7" s="4"/>
      <c r="E7" s="4"/>
      <c r="F7" s="7" t="s">
        <v>79</v>
      </c>
    </row>
    <row r="9" spans="1:6">
      <c r="A9" s="5" t="s">
        <v>80</v>
      </c>
      <c r="B9" s="5"/>
      <c r="C9" s="5"/>
      <c r="D9" s="5"/>
      <c r="E9" s="5"/>
      <c r="F9" s="5"/>
    </row>
    <row r="10" spans="1:6">
      <c r="A10" s="3" t="s">
        <v>68</v>
      </c>
      <c r="B10" s="3" t="s">
        <v>69</v>
      </c>
      <c r="C10" s="3" t="s">
        <v>70</v>
      </c>
      <c r="D10" s="3" t="s">
        <v>40</v>
      </c>
      <c r="E10" s="3" t="s">
        <v>77</v>
      </c>
      <c r="F10" s="3" t="s">
        <v>16</v>
      </c>
    </row>
    <row r="11" spans="1:6">
      <c r="A11" s="4" t="s">
        <v>81</v>
      </c>
      <c r="B11" s="4" t="s">
        <v>82</v>
      </c>
      <c r="C11" s="9">
        <v>93.40000000000001</v>
      </c>
      <c r="D11" s="4" t="s">
        <v>49</v>
      </c>
      <c r="E11" s="4"/>
      <c r="F11" s="7" t="s">
        <v>83</v>
      </c>
    </row>
    <row r="12" spans="1:6">
      <c r="A12" s="4" t="s">
        <v>84</v>
      </c>
      <c r="B12" s="4" t="s">
        <v>82</v>
      </c>
      <c r="C12" s="9">
        <v>480.36</v>
      </c>
      <c r="D12" s="4" t="s">
        <v>49</v>
      </c>
      <c r="E12" s="4"/>
      <c r="F12" s="7" t="s">
        <v>85</v>
      </c>
    </row>
    <row r="14" spans="1:6">
      <c r="A14" s="5" t="s">
        <v>86</v>
      </c>
      <c r="B14" s="5"/>
      <c r="C14" s="5"/>
      <c r="D14" s="5"/>
      <c r="E14" s="5"/>
      <c r="F14" s="5"/>
    </row>
    <row r="15" spans="1:6">
      <c r="A15" s="3" t="s">
        <v>68</v>
      </c>
      <c r="B15" s="3" t="s">
        <v>69</v>
      </c>
      <c r="C15" s="3" t="s">
        <v>70</v>
      </c>
      <c r="D15" s="3" t="s">
        <v>40</v>
      </c>
      <c r="E15" s="3" t="s">
        <v>77</v>
      </c>
      <c r="F15" s="3" t="s">
        <v>16</v>
      </c>
    </row>
    <row r="16" spans="1:6">
      <c r="A16" s="4" t="s">
        <v>87</v>
      </c>
      <c r="B16" s="4" t="s">
        <v>82</v>
      </c>
      <c r="C16" s="9">
        <v>161.34</v>
      </c>
      <c r="D16" s="4" t="s">
        <v>49</v>
      </c>
      <c r="E16" s="4"/>
      <c r="F16" s="7" t="s">
        <v>88</v>
      </c>
    </row>
    <row r="18" spans="1:6">
      <c r="A18" s="5" t="s">
        <v>89</v>
      </c>
      <c r="B18" s="5"/>
      <c r="C18" s="5"/>
      <c r="D18" s="5"/>
      <c r="E18" s="5"/>
      <c r="F18" s="5"/>
    </row>
    <row r="19" spans="1:6">
      <c r="A19" s="3" t="s">
        <v>68</v>
      </c>
      <c r="B19" s="3" t="s">
        <v>69</v>
      </c>
      <c r="C19" s="3" t="s">
        <v>70</v>
      </c>
      <c r="D19" s="3" t="s">
        <v>40</v>
      </c>
      <c r="E19" s="3" t="s">
        <v>77</v>
      </c>
      <c r="F19" s="3" t="s">
        <v>16</v>
      </c>
    </row>
    <row r="20" spans="1:6">
      <c r="A20" s="4" t="s">
        <v>90</v>
      </c>
      <c r="B20" s="4" t="s">
        <v>82</v>
      </c>
      <c r="C20" s="4" t="s">
        <v>91</v>
      </c>
      <c r="D20" s="4" t="s">
        <v>92</v>
      </c>
      <c r="E20" s="4"/>
      <c r="F20" s="7" t="s">
        <v>93</v>
      </c>
    </row>
    <row r="21" spans="1:6">
      <c r="A21" s="4" t="s">
        <v>94</v>
      </c>
      <c r="B21" s="4" t="s">
        <v>82</v>
      </c>
      <c r="C21" s="4" t="s">
        <v>95</v>
      </c>
      <c r="D21" s="4" t="s">
        <v>92</v>
      </c>
      <c r="E21" s="4"/>
      <c r="F21" s="7" t="s">
        <v>96</v>
      </c>
    </row>
    <row r="23" spans="1:6">
      <c r="A23" s="5" t="s">
        <v>97</v>
      </c>
      <c r="B23" s="5"/>
      <c r="C23" s="5"/>
      <c r="D23" s="5"/>
      <c r="E23" s="5"/>
      <c r="F23" s="5"/>
    </row>
    <row r="24" spans="1:6">
      <c r="A24" s="3" t="s">
        <v>98</v>
      </c>
      <c r="B24" s="3" t="s">
        <v>99</v>
      </c>
      <c r="C24" s="3" t="s">
        <v>41</v>
      </c>
      <c r="D24" s="3" t="s">
        <v>16</v>
      </c>
      <c r="E24" s="3"/>
      <c r="F24" s="3"/>
    </row>
    <row r="25" spans="1:6">
      <c r="A25" s="4" t="s">
        <v>100</v>
      </c>
      <c r="B25" s="4" t="s">
        <v>101</v>
      </c>
      <c r="C25" s="4"/>
      <c r="D25" s="4"/>
      <c r="E25" s="4" t="s">
        <v>50</v>
      </c>
      <c r="F25" s="7" t="s">
        <v>102</v>
      </c>
    </row>
  </sheetData>
  <mergeCells count="7">
    <mergeCell ref="A1:F1"/>
    <mergeCell ref="A4:F4"/>
    <mergeCell ref="A9:F9"/>
    <mergeCell ref="A14:F14"/>
    <mergeCell ref="A18:F18"/>
    <mergeCell ref="A23:F23"/>
    <mergeCell ref="B25:D25"/>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dimension ref="A1:F25"/>
  <sheetViews>
    <sheetView showGridLines="0" workbookViewId="0">
      <pane ySplit="2" topLeftCell="A3" activePane="bottomLeft" state="frozen"/>
      <selection pane="bottomLeft"/>
    </sheetView>
  </sheetViews>
  <sheetFormatPr defaultRowHeight="15"/>
  <cols>
    <col min="1" max="1" width="22.7109375" customWidth="1"/>
    <col min="2" max="6" width="16.7109375" customWidth="1"/>
  </cols>
  <sheetData>
    <row r="1" spans="1:6">
      <c r="A1" s="1" t="s">
        <v>103</v>
      </c>
      <c r="B1" s="1"/>
      <c r="C1" s="1"/>
      <c r="D1" s="1"/>
      <c r="E1" s="1"/>
      <c r="F1" s="1"/>
    </row>
    <row r="2" spans="1:6">
      <c r="A2" s="2" t="s">
        <v>104</v>
      </c>
    </row>
    <row r="4" spans="1:6">
      <c r="A4" s="5" t="s">
        <v>105</v>
      </c>
      <c r="B4" s="5"/>
      <c r="C4" s="5"/>
      <c r="D4" s="5"/>
      <c r="E4" s="5"/>
      <c r="F4" s="5"/>
    </row>
    <row r="5" spans="1:6">
      <c r="A5" s="3" t="s">
        <v>68</v>
      </c>
      <c r="B5" s="3" t="s">
        <v>69</v>
      </c>
      <c r="C5" s="3" t="s">
        <v>70</v>
      </c>
      <c r="D5" s="3" t="s">
        <v>40</v>
      </c>
      <c r="E5" s="3" t="s">
        <v>77</v>
      </c>
      <c r="F5" s="3" t="s">
        <v>16</v>
      </c>
    </row>
    <row r="6" spans="1:6">
      <c r="A6" s="4" t="s">
        <v>106</v>
      </c>
      <c r="B6" s="4"/>
      <c r="C6" s="4" t="s">
        <v>44</v>
      </c>
      <c r="D6" s="4"/>
      <c r="E6" s="4"/>
      <c r="F6" s="7" t="s">
        <v>107</v>
      </c>
    </row>
    <row r="7" spans="1:6">
      <c r="A7" s="4" t="s">
        <v>108</v>
      </c>
      <c r="B7" s="4"/>
      <c r="C7" s="4" t="s">
        <v>44</v>
      </c>
      <c r="D7" s="4"/>
      <c r="E7" s="4"/>
      <c r="F7" s="7" t="s">
        <v>109</v>
      </c>
    </row>
    <row r="9" spans="1:6">
      <c r="A9" s="5" t="s">
        <v>110</v>
      </c>
      <c r="B9" s="5"/>
      <c r="C9" s="5"/>
      <c r="D9" s="5"/>
      <c r="E9" s="5"/>
      <c r="F9" s="5"/>
    </row>
    <row r="10" spans="1:6">
      <c r="A10" s="3" t="s">
        <v>68</v>
      </c>
      <c r="B10" s="3" t="s">
        <v>69</v>
      </c>
      <c r="C10" s="3" t="s">
        <v>70</v>
      </c>
      <c r="D10" s="3" t="s">
        <v>40</v>
      </c>
      <c r="E10" s="3" t="s">
        <v>77</v>
      </c>
      <c r="F10" s="3" t="s">
        <v>16</v>
      </c>
    </row>
    <row r="11" spans="1:6">
      <c r="A11" s="4" t="s">
        <v>111</v>
      </c>
      <c r="B11" s="4" t="s">
        <v>82</v>
      </c>
      <c r="C11" s="4" t="s">
        <v>44</v>
      </c>
      <c r="D11" s="4"/>
      <c r="E11" s="4"/>
      <c r="F11" s="7"/>
    </row>
    <row r="12" spans="1:6">
      <c r="A12" s="4" t="s">
        <v>112</v>
      </c>
      <c r="B12" s="4" t="s">
        <v>82</v>
      </c>
      <c r="C12" s="9">
        <v>161.34</v>
      </c>
      <c r="D12" s="4" t="s">
        <v>49</v>
      </c>
      <c r="E12" s="4"/>
      <c r="F12" s="7" t="s">
        <v>88</v>
      </c>
    </row>
    <row r="14" spans="1:6">
      <c r="A14" s="5" t="s">
        <v>113</v>
      </c>
      <c r="B14" s="5"/>
      <c r="C14" s="5"/>
      <c r="D14" s="5"/>
      <c r="E14" s="5"/>
      <c r="F14" s="5"/>
    </row>
    <row r="15" spans="1:6">
      <c r="A15" s="3" t="s">
        <v>68</v>
      </c>
      <c r="B15" s="3" t="s">
        <v>69</v>
      </c>
      <c r="C15" s="3" t="s">
        <v>70</v>
      </c>
      <c r="D15" s="3" t="s">
        <v>40</v>
      </c>
      <c r="E15" s="3" t="s">
        <v>77</v>
      </c>
      <c r="F15" s="3" t="s">
        <v>16</v>
      </c>
    </row>
    <row r="16" spans="1:6">
      <c r="A16" s="4" t="s">
        <v>114</v>
      </c>
      <c r="B16" s="4" t="s">
        <v>82</v>
      </c>
      <c r="C16" s="4" t="s">
        <v>44</v>
      </c>
      <c r="D16" s="4"/>
      <c r="E16" s="4"/>
      <c r="F16" s="7"/>
    </row>
    <row r="17" spans="1:6">
      <c r="A17" s="4" t="s">
        <v>115</v>
      </c>
      <c r="B17" s="4" t="s">
        <v>82</v>
      </c>
      <c r="C17" s="4" t="s">
        <v>44</v>
      </c>
      <c r="D17" s="4"/>
      <c r="E17" s="4"/>
      <c r="F17" s="7"/>
    </row>
    <row r="19" spans="1:6">
      <c r="A19" s="5" t="s">
        <v>116</v>
      </c>
      <c r="B19" s="5"/>
      <c r="C19" s="5"/>
      <c r="D19" s="5"/>
      <c r="E19" s="5"/>
      <c r="F19" s="5"/>
    </row>
    <row r="20" spans="1:6">
      <c r="A20" s="3" t="s">
        <v>117</v>
      </c>
      <c r="B20" s="3" t="s">
        <v>118</v>
      </c>
      <c r="C20" s="3" t="s">
        <v>119</v>
      </c>
      <c r="D20" s="3" t="s">
        <v>40</v>
      </c>
      <c r="E20" s="3" t="s">
        <v>41</v>
      </c>
      <c r="F20" s="3" t="s">
        <v>16</v>
      </c>
    </row>
    <row r="21" spans="1:6">
      <c r="A21" s="4" t="s">
        <v>120</v>
      </c>
      <c r="B21" s="12" t="s">
        <v>121</v>
      </c>
      <c r="C21" s="9">
        <v>355.38</v>
      </c>
      <c r="D21" s="4" t="s">
        <v>49</v>
      </c>
      <c r="E21" s="4" t="s">
        <v>50</v>
      </c>
      <c r="F21" s="7" t="s">
        <v>102</v>
      </c>
    </row>
    <row r="23" spans="1:6">
      <c r="A23" s="5" t="s">
        <v>122</v>
      </c>
      <c r="B23" s="5"/>
      <c r="C23" s="5"/>
      <c r="D23" s="5"/>
      <c r="E23" s="5"/>
      <c r="F23" s="5"/>
    </row>
    <row r="24" spans="1:6">
      <c r="A24" s="8" t="s">
        <v>123</v>
      </c>
      <c r="B24" s="4" t="s">
        <v>124</v>
      </c>
      <c r="C24" s="4"/>
      <c r="D24" s="4"/>
      <c r="E24" s="4"/>
      <c r="F24" s="7" t="s">
        <v>83</v>
      </c>
    </row>
    <row r="25" spans="1:6">
      <c r="A25" s="8" t="s">
        <v>125</v>
      </c>
      <c r="B25" s="4" t="s">
        <v>126</v>
      </c>
      <c r="C25" s="4"/>
      <c r="D25" s="4"/>
      <c r="E25" s="4"/>
      <c r="F25" s="7"/>
    </row>
  </sheetData>
  <mergeCells count="8">
    <mergeCell ref="A1:F1"/>
    <mergeCell ref="A4:F4"/>
    <mergeCell ref="A9:F9"/>
    <mergeCell ref="A14:F14"/>
    <mergeCell ref="A19:F19"/>
    <mergeCell ref="A23:F23"/>
    <mergeCell ref="B24:E24"/>
    <mergeCell ref="B25:E25"/>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dimension ref="A1:F5"/>
  <sheetViews>
    <sheetView showGridLines="0" workbookViewId="0">
      <pane ySplit="2" topLeftCell="A3" activePane="bottomLeft" state="frozen"/>
      <selection pane="bottomLeft"/>
    </sheetView>
  </sheetViews>
  <sheetFormatPr defaultRowHeight="15"/>
  <cols>
    <col min="1" max="6" width="18.7109375" customWidth="1"/>
  </cols>
  <sheetData>
    <row r="1" spans="1:6">
      <c r="A1" s="1" t="s">
        <v>127</v>
      </c>
      <c r="B1" s="1"/>
      <c r="C1" s="1"/>
      <c r="D1" s="1"/>
      <c r="E1" s="1"/>
      <c r="F1" s="1"/>
    </row>
    <row r="2" spans="1:6">
      <c r="A2" s="2" t="s">
        <v>128</v>
      </c>
    </row>
    <row r="4" spans="1:6">
      <c r="A4" s="3" t="s">
        <v>129</v>
      </c>
      <c r="B4" s="3" t="s">
        <v>130</v>
      </c>
      <c r="C4" s="3" t="s">
        <v>40</v>
      </c>
      <c r="D4" s="3" t="s">
        <v>131</v>
      </c>
      <c r="E4" s="3" t="s">
        <v>132</v>
      </c>
      <c r="F4" s="3" t="s">
        <v>16</v>
      </c>
    </row>
    <row r="5" spans="1:6">
      <c r="A5" s="4" t="s">
        <v>133</v>
      </c>
      <c r="B5" s="9">
        <v>161.34</v>
      </c>
      <c r="C5" s="4" t="s">
        <v>49</v>
      </c>
      <c r="D5" s="4" t="s">
        <v>95</v>
      </c>
      <c r="E5" s="4"/>
      <c r="F5" s="7" t="s">
        <v>88</v>
      </c>
    </row>
  </sheetData>
  <mergeCells count="1">
    <mergeCell ref="A1:F1"/>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dimension ref="A1:F14"/>
  <sheetViews>
    <sheetView showGridLines="0" workbookViewId="0">
      <pane ySplit="2" topLeftCell="A3" activePane="bottomLeft" state="frozen"/>
      <selection pane="bottomLeft"/>
    </sheetView>
  </sheetViews>
  <sheetFormatPr defaultRowHeight="15"/>
  <cols>
    <col min="1" max="1" width="20.7109375" customWidth="1"/>
    <col min="2" max="5" width="18.7109375" customWidth="1"/>
  </cols>
  <sheetData>
    <row r="1" spans="1:6">
      <c r="A1" s="1" t="s">
        <v>134</v>
      </c>
      <c r="B1" s="1"/>
      <c r="C1" s="1"/>
      <c r="D1" s="1"/>
      <c r="E1" s="1"/>
      <c r="F1" s="1"/>
    </row>
    <row r="2" spans="1:6">
      <c r="A2" s="2" t="s">
        <v>135</v>
      </c>
    </row>
    <row r="4" spans="1:6">
      <c r="A4" s="4" t="s">
        <v>136</v>
      </c>
      <c r="B4" s="4"/>
      <c r="C4" s="4"/>
      <c r="D4" s="4"/>
      <c r="E4" s="4"/>
    </row>
    <row r="5" spans="1:6">
      <c r="A5" s="4"/>
      <c r="B5" s="4"/>
      <c r="C5" s="4"/>
      <c r="D5" s="4"/>
      <c r="E5" s="4"/>
    </row>
    <row r="7" spans="1:6">
      <c r="A7" s="5" t="s">
        <v>137</v>
      </c>
      <c r="B7" s="5"/>
      <c r="C7" s="5"/>
      <c r="D7" s="5"/>
      <c r="E7" s="5"/>
    </row>
    <row r="8" spans="1:6">
      <c r="A8" s="3" t="s">
        <v>38</v>
      </c>
      <c r="B8" s="3" t="s">
        <v>70</v>
      </c>
      <c r="C8" s="3" t="s">
        <v>40</v>
      </c>
      <c r="D8" s="3" t="s">
        <v>41</v>
      </c>
      <c r="E8" s="3" t="s">
        <v>16</v>
      </c>
    </row>
    <row r="9" spans="1:6">
      <c r="A9" s="4" t="s">
        <v>138</v>
      </c>
      <c r="B9" s="9">
        <v>2024</v>
      </c>
      <c r="C9" s="4" t="s">
        <v>139</v>
      </c>
      <c r="D9" s="4" t="s">
        <v>50</v>
      </c>
      <c r="E9" s="7" t="s">
        <v>140</v>
      </c>
    </row>
    <row r="10" spans="1:6">
      <c r="A10" s="4" t="s">
        <v>138</v>
      </c>
      <c r="B10" s="9">
        <v>2023</v>
      </c>
      <c r="C10" s="4" t="s">
        <v>139</v>
      </c>
      <c r="D10" s="4" t="s">
        <v>50</v>
      </c>
      <c r="E10" s="7" t="s">
        <v>141</v>
      </c>
    </row>
    <row r="12" spans="1:6">
      <c r="A12" s="5" t="s">
        <v>142</v>
      </c>
      <c r="B12" s="5"/>
      <c r="C12" s="5"/>
      <c r="D12" s="5"/>
      <c r="E12" s="5"/>
    </row>
    <row r="13" spans="1:6">
      <c r="A13" s="3" t="s">
        <v>143</v>
      </c>
      <c r="B13" s="3" t="s">
        <v>14</v>
      </c>
      <c r="C13" s="3" t="s">
        <v>144</v>
      </c>
      <c r="D13" s="3" t="s">
        <v>16</v>
      </c>
      <c r="E13" s="3"/>
    </row>
    <row r="14" spans="1:6">
      <c r="A14" s="4" t="s">
        <v>145</v>
      </c>
      <c r="B14" s="6" t="s">
        <v>18</v>
      </c>
      <c r="C14" s="4" t="s">
        <v>23</v>
      </c>
      <c r="D14" s="4" t="s">
        <v>24</v>
      </c>
      <c r="E14" s="4"/>
    </row>
  </sheetData>
  <mergeCells count="5">
    <mergeCell ref="A1:F1"/>
    <mergeCell ref="A4:E5"/>
    <mergeCell ref="A7:E7"/>
    <mergeCell ref="A12:E12"/>
    <mergeCell ref="D14:E14"/>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dimension ref="A1:H20"/>
  <sheetViews>
    <sheetView showGridLines="0" workbookViewId="0">
      <pane ySplit="2" topLeftCell="A3" activePane="bottomLeft" state="frozen"/>
      <selection pane="bottomLeft"/>
    </sheetView>
  </sheetViews>
  <sheetFormatPr defaultRowHeight="15"/>
  <cols>
    <col min="1" max="1" width="12.7109375" customWidth="1"/>
    <col min="2" max="2" width="28.7109375" customWidth="1"/>
    <col min="3" max="3" width="18.7109375" customWidth="1"/>
    <col min="4" max="4" width="42.7109375" customWidth="1"/>
    <col min="5" max="8" width="14.7109375" customWidth="1"/>
  </cols>
  <sheetData>
    <row r="1" spans="1:8">
      <c r="A1" s="1" t="s">
        <v>146</v>
      </c>
      <c r="B1" s="1"/>
      <c r="C1" s="1"/>
      <c r="D1" s="1"/>
      <c r="E1" s="1"/>
      <c r="F1" s="1"/>
    </row>
    <row r="2" spans="1:8">
      <c r="A2" s="2" t="s">
        <v>147</v>
      </c>
    </row>
    <row r="4" spans="1:8">
      <c r="A4" s="3" t="s">
        <v>148</v>
      </c>
      <c r="B4" s="3" t="s">
        <v>149</v>
      </c>
      <c r="C4" s="3" t="s">
        <v>150</v>
      </c>
      <c r="D4" s="3" t="s">
        <v>151</v>
      </c>
      <c r="E4" s="3" t="s">
        <v>152</v>
      </c>
      <c r="F4" s="3" t="s">
        <v>153</v>
      </c>
      <c r="G4" s="3" t="s">
        <v>154</v>
      </c>
      <c r="H4" s="3" t="s">
        <v>155</v>
      </c>
    </row>
    <row r="5" spans="1:8">
      <c r="A5" s="4" t="s">
        <v>156</v>
      </c>
      <c r="B5" s="4" t="s">
        <v>157</v>
      </c>
      <c r="C5" s="4" t="s">
        <v>158</v>
      </c>
      <c r="D5" s="4" t="s">
        <v>159</v>
      </c>
      <c r="E5" s="4" t="s">
        <v>160</v>
      </c>
      <c r="F5" s="4"/>
      <c r="G5" s="4"/>
      <c r="H5" s="4" t="s">
        <v>161</v>
      </c>
    </row>
    <row r="6" spans="1:8">
      <c r="A6" s="4" t="s">
        <v>21</v>
      </c>
      <c r="B6" s="4" t="s">
        <v>162</v>
      </c>
      <c r="C6" s="4" t="s">
        <v>158</v>
      </c>
      <c r="D6" s="4" t="s">
        <v>20</v>
      </c>
      <c r="E6" s="4" t="s">
        <v>163</v>
      </c>
      <c r="F6" s="4" t="s">
        <v>164</v>
      </c>
      <c r="G6" s="4" t="s">
        <v>165</v>
      </c>
      <c r="H6" s="4" t="s">
        <v>161</v>
      </c>
    </row>
    <row r="7" spans="1:8">
      <c r="A7" s="4" t="s">
        <v>25</v>
      </c>
      <c r="B7" s="4" t="s">
        <v>166</v>
      </c>
      <c r="C7" s="4" t="s">
        <v>158</v>
      </c>
      <c r="D7" s="4" t="s">
        <v>24</v>
      </c>
      <c r="E7" s="4" t="s">
        <v>163</v>
      </c>
      <c r="F7" s="4" t="s">
        <v>167</v>
      </c>
      <c r="G7" s="4" t="s">
        <v>168</v>
      </c>
      <c r="H7" s="4" t="s">
        <v>161</v>
      </c>
    </row>
    <row r="8" spans="1:8">
      <c r="A8" s="4" t="s">
        <v>29</v>
      </c>
      <c r="B8" s="4" t="s">
        <v>169</v>
      </c>
      <c r="C8" s="4" t="s">
        <v>158</v>
      </c>
      <c r="D8" s="4" t="s">
        <v>28</v>
      </c>
      <c r="E8" s="4" t="s">
        <v>163</v>
      </c>
      <c r="F8" s="4" t="s">
        <v>170</v>
      </c>
      <c r="G8" s="4" t="s">
        <v>171</v>
      </c>
      <c r="H8" s="4" t="s">
        <v>161</v>
      </c>
    </row>
    <row r="9" spans="1:8">
      <c r="A9" s="4" t="s">
        <v>51</v>
      </c>
      <c r="B9" s="4" t="s">
        <v>172</v>
      </c>
      <c r="C9" s="4" t="s">
        <v>173</v>
      </c>
      <c r="D9" s="4" t="s">
        <v>174</v>
      </c>
      <c r="E9" s="4" t="s">
        <v>163</v>
      </c>
      <c r="F9" s="4" t="s">
        <v>170</v>
      </c>
      <c r="G9" s="4" t="s">
        <v>171</v>
      </c>
      <c r="H9" s="4" t="s">
        <v>175</v>
      </c>
    </row>
    <row r="10" spans="1:8">
      <c r="A10" s="4" t="s">
        <v>107</v>
      </c>
      <c r="B10" s="4" t="s">
        <v>176</v>
      </c>
      <c r="C10" s="4" t="s">
        <v>177</v>
      </c>
      <c r="D10" s="4" t="s">
        <v>178</v>
      </c>
      <c r="E10" s="4" t="s">
        <v>163</v>
      </c>
      <c r="F10" s="4" t="s">
        <v>179</v>
      </c>
      <c r="G10" s="4" t="s">
        <v>180</v>
      </c>
      <c r="H10" s="4" t="s">
        <v>175</v>
      </c>
    </row>
    <row r="11" spans="1:8">
      <c r="A11" s="4" t="s">
        <v>83</v>
      </c>
      <c r="B11" s="4" t="s">
        <v>181</v>
      </c>
      <c r="C11" s="4" t="s">
        <v>173</v>
      </c>
      <c r="D11" s="4" t="s">
        <v>182</v>
      </c>
      <c r="E11" s="4" t="s">
        <v>163</v>
      </c>
      <c r="F11" s="4" t="s">
        <v>170</v>
      </c>
      <c r="G11" s="4" t="s">
        <v>171</v>
      </c>
      <c r="H11" s="4" t="s">
        <v>175</v>
      </c>
    </row>
    <row r="12" spans="1:8">
      <c r="A12" s="4" t="s">
        <v>88</v>
      </c>
      <c r="B12" s="4" t="s">
        <v>183</v>
      </c>
      <c r="C12" s="4" t="s">
        <v>184</v>
      </c>
      <c r="D12" s="4" t="s">
        <v>185</v>
      </c>
      <c r="E12" s="4" t="s">
        <v>163</v>
      </c>
      <c r="F12" s="4" t="s">
        <v>170</v>
      </c>
      <c r="G12" s="4" t="s">
        <v>171</v>
      </c>
      <c r="H12" s="4" t="s">
        <v>175</v>
      </c>
    </row>
    <row r="13" spans="1:8">
      <c r="A13" s="4" t="s">
        <v>102</v>
      </c>
      <c r="B13" s="4" t="s">
        <v>186</v>
      </c>
      <c r="C13" s="4" t="s">
        <v>177</v>
      </c>
      <c r="D13" s="4" t="s">
        <v>187</v>
      </c>
      <c r="E13" s="4" t="s">
        <v>163</v>
      </c>
      <c r="F13" s="4" t="s">
        <v>170</v>
      </c>
      <c r="G13" s="4" t="s">
        <v>171</v>
      </c>
      <c r="H13" s="4" t="s">
        <v>175</v>
      </c>
    </row>
    <row r="14" spans="1:8">
      <c r="A14" s="4" t="s">
        <v>79</v>
      </c>
      <c r="B14" s="4" t="s">
        <v>188</v>
      </c>
      <c r="C14" s="4" t="s">
        <v>173</v>
      </c>
      <c r="D14" s="4" t="s">
        <v>189</v>
      </c>
      <c r="E14" s="4" t="s">
        <v>163</v>
      </c>
      <c r="F14" s="4" t="s">
        <v>179</v>
      </c>
      <c r="G14" s="4" t="s">
        <v>180</v>
      </c>
      <c r="H14" s="4" t="s">
        <v>175</v>
      </c>
    </row>
    <row r="15" spans="1:8">
      <c r="A15" s="4" t="s">
        <v>93</v>
      </c>
      <c r="B15" s="4" t="s">
        <v>190</v>
      </c>
      <c r="C15" s="4" t="s">
        <v>173</v>
      </c>
      <c r="D15" s="4" t="s">
        <v>191</v>
      </c>
      <c r="E15" s="4" t="s">
        <v>163</v>
      </c>
      <c r="F15" s="4" t="s">
        <v>170</v>
      </c>
      <c r="G15" s="4" t="s">
        <v>171</v>
      </c>
      <c r="H15" s="4" t="s">
        <v>175</v>
      </c>
    </row>
    <row r="16" spans="1:8">
      <c r="A16" s="4" t="s">
        <v>96</v>
      </c>
      <c r="B16" s="4" t="s">
        <v>192</v>
      </c>
      <c r="C16" s="4" t="s">
        <v>173</v>
      </c>
      <c r="D16" s="4" t="s">
        <v>193</v>
      </c>
      <c r="E16" s="4" t="s">
        <v>163</v>
      </c>
      <c r="F16" s="4" t="s">
        <v>170</v>
      </c>
      <c r="G16" s="4" t="s">
        <v>171</v>
      </c>
      <c r="H16" s="4" t="s">
        <v>175</v>
      </c>
    </row>
    <row r="17" spans="1:8">
      <c r="A17" s="4" t="s">
        <v>109</v>
      </c>
      <c r="B17" s="4" t="s">
        <v>194</v>
      </c>
      <c r="C17" s="4" t="s">
        <v>177</v>
      </c>
      <c r="D17" s="4" t="s">
        <v>195</v>
      </c>
      <c r="E17" s="4" t="s">
        <v>163</v>
      </c>
      <c r="F17" s="4" t="s">
        <v>179</v>
      </c>
      <c r="G17" s="4" t="s">
        <v>180</v>
      </c>
      <c r="H17" s="4" t="s">
        <v>175</v>
      </c>
    </row>
    <row r="18" spans="1:8">
      <c r="A18" s="4" t="s">
        <v>196</v>
      </c>
      <c r="B18" s="4" t="s">
        <v>197</v>
      </c>
      <c r="C18" s="4" t="s">
        <v>198</v>
      </c>
      <c r="D18" s="4" t="s">
        <v>199</v>
      </c>
      <c r="E18" s="4" t="s">
        <v>163</v>
      </c>
      <c r="F18" s="4" t="s">
        <v>167</v>
      </c>
      <c r="G18" s="4" t="s">
        <v>168</v>
      </c>
      <c r="H18" s="4" t="s">
        <v>175</v>
      </c>
    </row>
    <row r="19" spans="1:8">
      <c r="A19" s="4" t="s">
        <v>140</v>
      </c>
      <c r="B19" s="4" t="s">
        <v>200</v>
      </c>
      <c r="C19" s="4" t="s">
        <v>198</v>
      </c>
      <c r="D19" s="4" t="s">
        <v>201</v>
      </c>
      <c r="E19" s="4" t="s">
        <v>163</v>
      </c>
      <c r="F19" s="4" t="s">
        <v>167</v>
      </c>
      <c r="G19" s="4" t="s">
        <v>168</v>
      </c>
      <c r="H19" s="4" t="s">
        <v>175</v>
      </c>
    </row>
    <row r="20" spans="1:8">
      <c r="A20" s="4" t="s">
        <v>141</v>
      </c>
      <c r="B20" s="4" t="s">
        <v>200</v>
      </c>
      <c r="C20" s="4" t="s">
        <v>198</v>
      </c>
      <c r="D20" s="4" t="s">
        <v>24</v>
      </c>
      <c r="E20" s="4" t="s">
        <v>163</v>
      </c>
      <c r="F20" s="4" t="s">
        <v>167</v>
      </c>
      <c r="G20" s="4" t="s">
        <v>168</v>
      </c>
      <c r="H20" s="4" t="s">
        <v>175</v>
      </c>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00_overview</vt:lpstr>
      <vt:lpstr>01_kpi_dashboard</vt:lpstr>
      <vt:lpstr>02_financial_summary</vt:lpstr>
      <vt:lpstr>03_debt_profile</vt:lpstr>
      <vt:lpstr>04_liquidity_and_covenants</vt:lpstr>
      <vt:lpstr>05_bond_detail</vt:lpstr>
      <vt:lpstr>08_topic_investment_property</vt:lpstr>
      <vt:lpstr>99_evidence_index</vt:lpstr>
    </vt:vector>
  </TitlesOfParts>
  <Company>Codex</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Soul 恒隆地产有限公司</dc:title>
  <dc:subject>soul_v1_1_alpha</dc:subject>
  <dc:creator/>
  <cp:lastModifiedBy/>
  <dcterms:created xsi:type="dcterms:W3CDTF">2026-03-16T13:50:04Z</dcterms:created>
  <dcterms:modified xsi:type="dcterms:W3CDTF">2026-03-16T13:50:04Z</dcterms:modified>
</cp:coreProperties>
</file>